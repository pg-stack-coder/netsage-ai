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<sst xmlns="http://schemas.openxmlformats.org/spreadsheetml/2006/main" count="316" uniqueCount="90">
  <si>
    <t xml:space="preserve">case_id</t>
  </si>
  <si>
    <t xml:space="preserve">category</t>
  </si>
  <si>
    <t xml:space="preserve">osi_layer</t>
  </si>
  <si>
    <t xml:space="preserve">severity</t>
  </si>
  <si>
    <t xml:space="preserve">difficulty</t>
  </si>
  <si>
    <t xml:space="preserve">red_herring</t>
  </si>
  <si>
    <t xml:space="preserve">ai_confidence</t>
  </si>
  <si>
    <t xml:space="preserve">human_verdict</t>
  </si>
  <si>
    <t xml:space="preserve">C001</t>
  </si>
  <si>
    <t xml:space="preserve">stp</t>
  </si>
  <si>
    <t xml:space="preserve">2</t>
  </si>
  <si>
    <t xml:space="preserve">high</t>
  </si>
  <si>
    <t xml:space="preserve">hard</t>
  </si>
  <si>
    <t xml:space="preserve">no</t>
  </si>
  <si>
    <t xml:space="preserve">Rejected</t>
  </si>
  <si>
    <t xml:space="preserve">C002</t>
  </si>
  <si>
    <t xml:space="preserve">fhrp</t>
  </si>
  <si>
    <t xml:space="preserve">3</t>
  </si>
  <si>
    <t xml:space="preserve">yes</t>
  </si>
  <si>
    <t xml:space="preserve">C003</t>
  </si>
  <si>
    <t xml:space="preserve">vlan</t>
  </si>
  <si>
    <t xml:space="preserve">medium</t>
  </si>
  <si>
    <t xml:space="preserve">easy</t>
  </si>
  <si>
    <t xml:space="preserve">Accepted</t>
  </si>
  <si>
    <t xml:space="preserve">C004</t>
  </si>
  <si>
    <t xml:space="preserve">security</t>
  </si>
  <si>
    <t xml:space="preserve">1</t>
  </si>
  <si>
    <t xml:space="preserve">C005</t>
  </si>
  <si>
    <t xml:space="preserve">dns</t>
  </si>
  <si>
    <t xml:space="preserve">7</t>
  </si>
  <si>
    <t xml:space="preserve">Edited</t>
  </si>
  <si>
    <t xml:space="preserve">C006</t>
  </si>
  <si>
    <t xml:space="preserve">routing</t>
  </si>
  <si>
    <t xml:space="preserve">C007</t>
  </si>
  <si>
    <t xml:space="preserve">nat</t>
  </si>
  <si>
    <t xml:space="preserve">C008</t>
  </si>
  <si>
    <t xml:space="preserve">wireless</t>
  </si>
  <si>
    <t xml:space="preserve">C009</t>
  </si>
  <si>
    <t xml:space="preserve">acl</t>
  </si>
  <si>
    <t xml:space="preserve">4</t>
  </si>
  <si>
    <t xml:space="preserve">C010</t>
  </si>
  <si>
    <t xml:space="preserve">C011</t>
  </si>
  <si>
    <t xml:space="preserve">C012</t>
  </si>
  <si>
    <t xml:space="preserve">dhcp</t>
  </si>
  <si>
    <t xml:space="preserve">C013</t>
  </si>
  <si>
    <t xml:space="preserve">tunnel</t>
  </si>
  <si>
    <t xml:space="preserve">C014</t>
  </si>
  <si>
    <t xml:space="preserve">C015</t>
  </si>
  <si>
    <t xml:space="preserve">low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</si>
  <si>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</si>
  <si>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</si>
  <si>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</si>
  <si>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</si>
  <si>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</si>
  <si>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</si>
  <si>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</si>
  <si>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</si>
  <si>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</si>
  <si>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qos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</si>
  <si>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</si>
  <si>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</si>
  <si>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</si>
  <si>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</si>
  <si>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</si>
  <si>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ip-addressing</t>
  </si>
  <si>
    <t xml:space="preserve">C030</t>
  </si>
  <si>
    <t xml:space="preserve">C031</t>
  </si>
  <si>
    <t xml:space="preserve">multi-fault</t>
  </si>
  <si>
    <t xml:space="preserve">C032</t>
  </si>
  <si>
    <t xml:space="preserve">C033</t>
  </si>
  <si>
    <t xml:space="preserve">C034</t>
  </si>
  <si>
    <t xml:space="preserve">C035</t>
  </si>
  <si>
    <t xml:space="preserve">NetSage AI — Diagnosis Review Summary</t>
  </si>
  <si>
    <t xml:space="preserve">35 troubleshooting cases · AI diagnosis vs. human review</t>
  </si>
  <si>
    <t xml:space="preserve">Overall AI vs. Human Agreement</t>
  </si>
  <si>
    <t xml:space="preserve">Verdict</t>
  </si>
  <si>
    <t xml:space="preserve">Count</t>
  </si>
  <si>
    <t xml:space="preserve">% of cases</t>
  </si>
  <si>
    <t xml:space="preserve">Total</t>
  </si>
  <si>
    <t xml:space="preserve">By Category</t>
  </si>
  <si>
    <t xml:space="preserve">Category</t>
  </si>
  <si>
    <t xml:space="preserve">Total Cases</t>
  </si>
  <si>
    <t xml:space="preserve">Accept Rate</t>
  </si>
  <si>
    <t xml:space="preserve">By Severity</t>
  </si>
  <si>
    <t xml:space="preserve">Severity</t>
  </si>
  <si>
    <t xml:space="preserve">By OSI Layer</t>
  </si>
  <si>
    <t xml:space="preserve">OSI Layer</t>
  </si>
  <si>
    <t xml:space="preserve">Red-Herring Cases: Does a Distractor Fool the AI?</t>
  </si>
  <si>
    <t xml:space="preserve">Red Herring?</t>
  </si>
  <si>
    <t xml:space="preserve">NetSage AI — Charts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</si>
</sst>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 Diagnosis Verdicts (All 35 Cases)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Summary!$A$6:$A$8</c:f>
              <c:strCache>
                <c:ptCount val="3"/>
                <c:pt idx="0">
                  <c:v>Accepted</c:v>
                </c:pt>
                <c:pt idx="1">
                  <c:v>Edited</c:v>
                </c:pt>
                <c:pt idx="2">
                  <c:v>Rejected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24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Cases by Category (with Acceptance Rate)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Summary!B13</c:f>
              <c:strCache>
                <c:ptCount val="1"/>
                <c:pt idx="0">
                  <c:v>Total 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Summary!$A$14:$A$27</c:f>
              <c:strCache>
                <c:ptCount val="14"/>
                <c:pt idx="0">
                  <c:v>acl</c:v>
                </c:pt>
                <c:pt idx="1">
                  <c:v>dhcp</c:v>
                </c:pt>
                <c:pt idx="2">
                  <c:v>dns</c:v>
                </c:pt>
                <c:pt idx="3">
                  <c:v>fhrp</c:v>
                </c:pt>
                <c:pt idx="4">
                  <c:v>ip-addressing</c:v>
                </c:pt>
                <c:pt idx="5">
                  <c:v>multi-fault</c:v>
                </c:pt>
                <c:pt idx="6">
                  <c:v>nat</c:v>
                </c:pt>
                <c:pt idx="7">
                  <c:v>qos</c:v>
                </c:pt>
                <c:pt idx="8">
                  <c:v>routing</c:v>
                </c:pt>
                <c:pt idx="9">
                  <c:v>security</c:v>
                </c:pt>
                <c:pt idx="10">
                  <c:v>stp</c:v>
                </c:pt>
                <c:pt idx="11">
                  <c:v>tunnel</c:v>
                </c:pt>
                <c:pt idx="12">
                  <c:v>vlan</c:v>
                </c:pt>
                <c:pt idx="13">
                  <c:v>wireless</c:v>
                </c:pt>
              </c:strCache>
            </c:strRef>
          </c:cat>
          <c:val>
            <c:numRef>
              <c:f>Summary!$B$14:$B$27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</c:numCache>
            </c:numRef>
          </c:val>
        </c:ser>
        <c:gapWidth val="150"/>
        <c:overlap val="0"/>
        <c:axId val="40229041"/>
        <c:axId val="95795208"/>
      </c:barChart>
      <c:catAx>
        <c:axId val="402290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95208"/>
        <c:crosses val="autoZero"/>
        <c:auto val="1"/>
        <c:lblAlgn val="ctr"/>
        <c:lblOffset val="100"/>
        <c:noMultiLvlLbl val="0"/>
      </c:catAx>
      <c:valAx>
        <c:axId val="95795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9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Verdict Breakdown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Summary!C31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Summary!$A$32:$A$34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Summary!$C$32:$C$34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Summary!D31</c:f>
              <c:strCache>
                <c:ptCount val="1"/>
                <c:pt idx="0">
                  <c:v>Edited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Summary!$A$32:$A$34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Summary!$D$32:$D$34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Summary!E31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Summary!$A$32:$A$34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Summary!$E$32:$E$34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2618840"/>
        <c:axId val="64362917"/>
      </c:barChart>
      <c:catAx>
        <c:axId val="261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62917"/>
        <c:crosses val="autoZero"/>
        <c:auto val="1"/>
        <c:lblAlgn val="ctr"/>
        <c:lblOffset val="100"/>
        <c:noMultiLvlLbl val="0"/>
      </c:catAx>
      <c:valAx>
        <c:axId val="64362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8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7</xdr:col>
      <xdr:colOff>39240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10</xdr:col>
      <xdr:colOff>364680</xdr:colOff>
      <xdr:row>35</xdr:row>
      <xdr:rowOff>161640</xdr:rowOff>
    </xdr:to>
    <xdr:graphicFrame>
      <xdr:nvGraphicFramePr>
        <xdr:cNvPr id="1" name="Chart 2"/>
        <xdr:cNvGraphicFramePr/>
      </xdr:nvGraphicFramePr>
      <xdr:xfrm>
        <a:off x="0" y="3619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160560</xdr:rowOff>
    </xdr:from>
    <xdr:to>
      <xdr:col>21</xdr:col>
      <xdr:colOff>147600</xdr:colOff>
      <xdr:row>35</xdr:row>
      <xdr:rowOff>161640</xdr:rowOff>
    </xdr:to>
    <xdr:graphicFrame>
      <xdr:nvGraphicFramePr>
        <xdr:cNvPr id="2" name="Chart 3"/>
        <xdr:cNvGraphicFramePr/>
      </xdr:nvGraphicFramePr>
      <xdr:xfrm>
        <a:off x="7949520" y="3619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90</v>
      </c>
      <c r="H2" s="3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18</v>
      </c>
      <c r="G3" s="2" t="n">
        <v>85</v>
      </c>
      <c r="H3" s="3" t="s">
        <v>14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13</v>
      </c>
      <c r="G4" s="2" t="n">
        <v>95</v>
      </c>
      <c r="H4" s="4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21</v>
      </c>
      <c r="E5" s="2" t="s">
        <v>21</v>
      </c>
      <c r="F5" s="2" t="s">
        <v>13</v>
      </c>
      <c r="G5" s="2" t="n">
        <v>95</v>
      </c>
      <c r="H5" s="4" t="s">
        <v>23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21</v>
      </c>
      <c r="E6" s="2" t="s">
        <v>22</v>
      </c>
      <c r="F6" s="2" t="s">
        <v>18</v>
      </c>
      <c r="G6" s="2" t="n">
        <v>95</v>
      </c>
      <c r="H6" s="5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17</v>
      </c>
      <c r="D7" s="2" t="s">
        <v>21</v>
      </c>
      <c r="E7" s="2" t="s">
        <v>12</v>
      </c>
      <c r="F7" s="2" t="s">
        <v>13</v>
      </c>
      <c r="G7" s="2" t="n">
        <v>90</v>
      </c>
      <c r="H7" s="3" t="s">
        <v>14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17</v>
      </c>
      <c r="D8" s="2" t="s">
        <v>11</v>
      </c>
      <c r="E8" s="2" t="s">
        <v>21</v>
      </c>
      <c r="F8" s="2" t="s">
        <v>13</v>
      </c>
      <c r="G8" s="2" t="n">
        <v>95</v>
      </c>
      <c r="H8" s="4" t="s">
        <v>23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10</v>
      </c>
      <c r="D9" s="2" t="s">
        <v>21</v>
      </c>
      <c r="E9" s="2" t="s">
        <v>21</v>
      </c>
      <c r="F9" s="2" t="s">
        <v>13</v>
      </c>
      <c r="G9" s="2" t="n">
        <v>90</v>
      </c>
      <c r="H9" s="4" t="s">
        <v>23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21</v>
      </c>
      <c r="E10" s="2" t="s">
        <v>22</v>
      </c>
      <c r="F10" s="2" t="s">
        <v>13</v>
      </c>
      <c r="G10" s="2" t="n">
        <v>98</v>
      </c>
      <c r="H10" s="5" t="s">
        <v>30</v>
      </c>
    </row>
    <row r="11" customFormat="false" ht="15" hidden="false" customHeight="false" outlineLevel="0" collapsed="false">
      <c r="A11" s="2" t="s">
        <v>40</v>
      </c>
      <c r="B11" s="2" t="s">
        <v>20</v>
      </c>
      <c r="C11" s="2" t="s">
        <v>10</v>
      </c>
      <c r="D11" s="2" t="s">
        <v>11</v>
      </c>
      <c r="E11" s="2" t="s">
        <v>12</v>
      </c>
      <c r="F11" s="2" t="s">
        <v>13</v>
      </c>
      <c r="G11" s="2" t="n">
        <v>95</v>
      </c>
      <c r="H11" s="5" t="s">
        <v>30</v>
      </c>
    </row>
    <row r="12" customFormat="false" ht="15" hidden="false" customHeight="false" outlineLevel="0" collapsed="false">
      <c r="A12" s="2" t="s">
        <v>41</v>
      </c>
      <c r="B12" s="2" t="s">
        <v>32</v>
      </c>
      <c r="C12" s="2" t="s">
        <v>17</v>
      </c>
      <c r="D12" s="2" t="s">
        <v>21</v>
      </c>
      <c r="E12" s="2" t="s">
        <v>12</v>
      </c>
      <c r="F12" s="2" t="s">
        <v>18</v>
      </c>
      <c r="G12" s="2" t="n">
        <v>90</v>
      </c>
      <c r="H12" s="3" t="s">
        <v>14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17</v>
      </c>
      <c r="D13" s="2" t="s">
        <v>11</v>
      </c>
      <c r="E13" s="2" t="s">
        <v>22</v>
      </c>
      <c r="F13" s="2" t="s">
        <v>13</v>
      </c>
      <c r="G13" s="2" t="n">
        <v>95</v>
      </c>
      <c r="H13" s="4" t="s">
        <v>23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17</v>
      </c>
      <c r="D14" s="2" t="s">
        <v>21</v>
      </c>
      <c r="E14" s="2" t="s">
        <v>12</v>
      </c>
      <c r="F14" s="2" t="s">
        <v>18</v>
      </c>
      <c r="G14" s="2" t="n">
        <v>95</v>
      </c>
      <c r="H14" s="4" t="s">
        <v>23</v>
      </c>
    </row>
    <row r="15" customFormat="false" ht="15" hidden="false" customHeight="false" outlineLevel="0" collapsed="false">
      <c r="A15" s="2" t="s">
        <v>46</v>
      </c>
      <c r="B15" s="2" t="s">
        <v>20</v>
      </c>
      <c r="C15" s="2" t="s">
        <v>10</v>
      </c>
      <c r="D15" s="2" t="s">
        <v>11</v>
      </c>
      <c r="E15" s="2" t="s">
        <v>21</v>
      </c>
      <c r="F15" s="2" t="s">
        <v>13</v>
      </c>
      <c r="G15" s="2" t="n">
        <v>95</v>
      </c>
      <c r="H15" s="4" t="s">
        <v>23</v>
      </c>
    </row>
    <row r="16" customFormat="false" ht="15" hidden="false" customHeight="false" outlineLevel="0" collapsed="false">
      <c r="A16" s="2" t="s">
        <v>47</v>
      </c>
      <c r="B16" s="2" t="s">
        <v>28</v>
      </c>
      <c r="C16" s="2" t="s">
        <v>29</v>
      </c>
      <c r="D16" s="2" t="s">
        <v>48</v>
      </c>
      <c r="E16" s="2" t="s">
        <v>21</v>
      </c>
      <c r="F16" s="2" t="s">
        <v>18</v>
      </c>
      <c r="G16" s="2" t="n">
        <v>95</v>
      </c>
      <c r="H16" s="5" t="s">
        <v>30</v>
      </c>
    </row>
    <row r="17" customFormat="false" ht="15" hidden="false" customHeight="false" outlineLevel="0" collapsed="false">
      <c r="A17" s="2" t="s">
        <v>49</v>
      </c>
      <c r="B17" s="2" t="s">
        <v>38</v>
      </c>
      <c r="C17" s="2" t="s">
        <v>39</v>
      </c>
      <c r="D17" s="2" t="s">
        <v>21</v>
      </c>
      <c r="E17" s="2" t="s">
        <v>22</v>
      </c>
      <c r="F17" s="2" t="s">
        <v>13</v>
      </c>
      <c r="G17" s="2" t="n">
        <v>100</v>
      </c>
      <c r="H17" s="4" t="s">
        <v>23</v>
      </c>
    </row>
    <row r="18" customFormat="false" ht="15" hidden="false" customHeight="false" outlineLevel="0" collapsed="false">
      <c r="A18" s="2" t="s">
        <v>50</v>
      </c>
      <c r="B18" s="2" t="s">
        <v>34</v>
      </c>
      <c r="C18" s="2" t="s">
        <v>17</v>
      </c>
      <c r="D18" s="2" t="s">
        <v>11</v>
      </c>
      <c r="E18" s="2" t="s">
        <v>12</v>
      </c>
      <c r="F18" s="2" t="s">
        <v>13</v>
      </c>
      <c r="G18" s="2" t="n">
        <v>95</v>
      </c>
      <c r="H18" s="4" t="s">
        <v>23</v>
      </c>
    </row>
    <row r="19" customFormat="false" ht="15" hidden="false" customHeight="false" outlineLevel="0" collapsed="false">
      <c r="A19" s="2" t="s">
        <v>51</v>
      </c>
      <c r="B19" s="2" t="s">
        <v>20</v>
      </c>
      <c r="C19" s="2" t="s">
        <v>10</v>
      </c>
      <c r="D19" s="2" t="s">
        <v>11</v>
      </c>
      <c r="E19" s="2" t="s">
        <v>21</v>
      </c>
      <c r="F19" s="2" t="s">
        <v>13</v>
      </c>
      <c r="G19" s="2" t="n">
        <v>100</v>
      </c>
      <c r="H19" s="4" t="s">
        <v>23</v>
      </c>
    </row>
    <row r="20" customFormat="false" ht="15" hidden="false" customHeight="false" outlineLevel="0" collapsed="false">
      <c r="A20" s="2" t="s">
        <v>52</v>
      </c>
      <c r="B20" s="2" t="s">
        <v>32</v>
      </c>
      <c r="C20" s="2" t="s">
        <v>17</v>
      </c>
      <c r="D20" s="2" t="s">
        <v>11</v>
      </c>
      <c r="E20" s="2" t="s">
        <v>12</v>
      </c>
      <c r="F20" s="2" t="s">
        <v>18</v>
      </c>
      <c r="G20" s="2" t="n">
        <v>95</v>
      </c>
      <c r="H20" s="4" t="s">
        <v>23</v>
      </c>
    </row>
    <row r="21" customFormat="false" ht="15" hidden="false" customHeight="false" outlineLevel="0" collapsed="false">
      <c r="A21" s="2" t="s">
        <v>53</v>
      </c>
      <c r="B21" s="2" t="s">
        <v>32</v>
      </c>
      <c r="C21" s="2" t="s">
        <v>17</v>
      </c>
      <c r="D21" s="2" t="s">
        <v>21</v>
      </c>
      <c r="E21" s="2" t="s">
        <v>21</v>
      </c>
      <c r="F21" s="2" t="s">
        <v>13</v>
      </c>
      <c r="G21" s="2" t="n">
        <v>100</v>
      </c>
      <c r="H21" s="4" t="s">
        <v>23</v>
      </c>
    </row>
    <row r="22" customFormat="false" ht="15" hidden="false" customHeight="false" outlineLevel="0" collapsed="false">
      <c r="A22" s="2" t="s">
        <v>54</v>
      </c>
      <c r="B22" s="2" t="s">
        <v>43</v>
      </c>
      <c r="C22" s="2" t="s">
        <v>17</v>
      </c>
      <c r="D22" s="2" t="s">
        <v>21</v>
      </c>
      <c r="E22" s="2" t="s">
        <v>22</v>
      </c>
      <c r="F22" s="2" t="s">
        <v>13</v>
      </c>
      <c r="G22" s="2" t="n">
        <v>100</v>
      </c>
      <c r="H22" s="4" t="s">
        <v>23</v>
      </c>
    </row>
    <row r="23" customFormat="false" ht="15" hidden="false" customHeight="false" outlineLevel="0" collapsed="false">
      <c r="A23" s="2" t="s">
        <v>55</v>
      </c>
      <c r="B23" s="2" t="s">
        <v>36</v>
      </c>
      <c r="C23" s="2" t="s">
        <v>26</v>
      </c>
      <c r="D23" s="2" t="s">
        <v>21</v>
      </c>
      <c r="E23" s="2" t="s">
        <v>21</v>
      </c>
      <c r="F23" s="2" t="s">
        <v>13</v>
      </c>
      <c r="G23" s="2" t="n">
        <v>95</v>
      </c>
      <c r="H23" s="4" t="s">
        <v>23</v>
      </c>
    </row>
    <row r="24" customFormat="false" ht="15" hidden="false" customHeight="false" outlineLevel="0" collapsed="false">
      <c r="A24" s="2" t="s">
        <v>56</v>
      </c>
      <c r="B24" s="2" t="s">
        <v>36</v>
      </c>
      <c r="C24" s="2" t="s">
        <v>26</v>
      </c>
      <c r="D24" s="2" t="s">
        <v>48</v>
      </c>
      <c r="E24" s="2" t="s">
        <v>22</v>
      </c>
      <c r="F24" s="2" t="s">
        <v>13</v>
      </c>
      <c r="G24" s="2" t="n">
        <v>95</v>
      </c>
      <c r="H24" s="5" t="s">
        <v>30</v>
      </c>
    </row>
    <row r="25" customFormat="false" ht="15" hidden="false" customHeight="false" outlineLevel="0" collapsed="false">
      <c r="A25" s="2" t="s">
        <v>57</v>
      </c>
      <c r="B25" s="2" t="s">
        <v>58</v>
      </c>
      <c r="C25" s="2" t="s">
        <v>39</v>
      </c>
      <c r="D25" s="2" t="s">
        <v>21</v>
      </c>
      <c r="E25" s="2" t="s">
        <v>21</v>
      </c>
      <c r="F25" s="2" t="s">
        <v>13</v>
      </c>
      <c r="G25" s="2" t="n">
        <v>95</v>
      </c>
      <c r="H25" s="4" t="s">
        <v>23</v>
      </c>
    </row>
    <row r="26" customFormat="false" ht="15" hidden="false" customHeight="false" outlineLevel="0" collapsed="false">
      <c r="A26" s="2" t="s">
        <v>59</v>
      </c>
      <c r="B26" s="2" t="s">
        <v>25</v>
      </c>
      <c r="C26" s="2" t="s">
        <v>10</v>
      </c>
      <c r="D26" s="2" t="s">
        <v>21</v>
      </c>
      <c r="E26" s="2" t="s">
        <v>12</v>
      </c>
      <c r="F26" s="2" t="s">
        <v>13</v>
      </c>
      <c r="G26" s="2" t="n">
        <v>95</v>
      </c>
      <c r="H26" s="4" t="s">
        <v>23</v>
      </c>
    </row>
    <row r="27" customFormat="false" ht="15" hidden="false" customHeight="false" outlineLevel="0" collapsed="false">
      <c r="A27" s="2" t="s">
        <v>60</v>
      </c>
      <c r="B27" s="2" t="s">
        <v>20</v>
      </c>
      <c r="C27" s="2" t="s">
        <v>10</v>
      </c>
      <c r="D27" s="2" t="s">
        <v>21</v>
      </c>
      <c r="E27" s="2" t="s">
        <v>22</v>
      </c>
      <c r="F27" s="2" t="s">
        <v>13</v>
      </c>
      <c r="G27" s="2" t="n">
        <v>100</v>
      </c>
      <c r="H27" s="4" t="s">
        <v>23</v>
      </c>
    </row>
    <row r="28" customFormat="false" ht="15" hidden="false" customHeight="false" outlineLevel="0" collapsed="false">
      <c r="A28" s="2" t="s">
        <v>61</v>
      </c>
      <c r="B28" s="2" t="s">
        <v>28</v>
      </c>
      <c r="C28" s="2" t="s">
        <v>29</v>
      </c>
      <c r="D28" s="2" t="s">
        <v>48</v>
      </c>
      <c r="E28" s="2" t="s">
        <v>21</v>
      </c>
      <c r="F28" s="2" t="s">
        <v>18</v>
      </c>
      <c r="G28" s="2" t="n">
        <v>95</v>
      </c>
      <c r="H28" s="4" t="s">
        <v>23</v>
      </c>
    </row>
    <row r="29" customFormat="false" ht="15" hidden="false" customHeight="false" outlineLevel="0" collapsed="false">
      <c r="A29" s="2" t="s">
        <v>62</v>
      </c>
      <c r="B29" s="2" t="s">
        <v>34</v>
      </c>
      <c r="C29" s="2" t="s">
        <v>17</v>
      </c>
      <c r="D29" s="2" t="s">
        <v>21</v>
      </c>
      <c r="E29" s="2" t="s">
        <v>12</v>
      </c>
      <c r="F29" s="2" t="s">
        <v>13</v>
      </c>
      <c r="G29" s="2" t="n">
        <v>100</v>
      </c>
      <c r="H29" s="4" t="s">
        <v>23</v>
      </c>
    </row>
    <row r="30" customFormat="false" ht="15" hidden="false" customHeight="false" outlineLevel="0" collapsed="false">
      <c r="A30" s="2" t="s">
        <v>63</v>
      </c>
      <c r="B30" s="2" t="s">
        <v>64</v>
      </c>
      <c r="C30" s="2" t="s">
        <v>17</v>
      </c>
      <c r="D30" s="2" t="s">
        <v>21</v>
      </c>
      <c r="E30" s="2" t="s">
        <v>22</v>
      </c>
      <c r="F30" s="2" t="s">
        <v>13</v>
      </c>
      <c r="G30" s="2" t="n">
        <v>95</v>
      </c>
      <c r="H30" s="4" t="s">
        <v>23</v>
      </c>
    </row>
    <row r="31" customFormat="false" ht="15" hidden="false" customHeight="false" outlineLevel="0" collapsed="false">
      <c r="A31" s="2" t="s">
        <v>65</v>
      </c>
      <c r="B31" s="2" t="s">
        <v>64</v>
      </c>
      <c r="C31" s="2" t="s">
        <v>17</v>
      </c>
      <c r="D31" s="2" t="s">
        <v>21</v>
      </c>
      <c r="E31" s="2" t="s">
        <v>22</v>
      </c>
      <c r="F31" s="2" t="s">
        <v>18</v>
      </c>
      <c r="G31" s="2" t="n">
        <v>100</v>
      </c>
      <c r="H31" s="5" t="s">
        <v>30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10</v>
      </c>
      <c r="D32" s="2" t="s">
        <v>11</v>
      </c>
      <c r="E32" s="2" t="s">
        <v>12</v>
      </c>
      <c r="F32" s="2" t="s">
        <v>13</v>
      </c>
      <c r="G32" s="2" t="n">
        <v>100</v>
      </c>
      <c r="H32" s="4" t="s">
        <v>23</v>
      </c>
    </row>
    <row r="33" customFormat="false" ht="15" hidden="false" customHeight="false" outlineLevel="0" collapsed="false">
      <c r="A33" s="2" t="s">
        <v>68</v>
      </c>
      <c r="B33" s="2" t="s">
        <v>67</v>
      </c>
      <c r="C33" s="2" t="s">
        <v>17</v>
      </c>
      <c r="D33" s="2" t="s">
        <v>11</v>
      </c>
      <c r="E33" s="2" t="s">
        <v>12</v>
      </c>
      <c r="F33" s="2" t="s">
        <v>13</v>
      </c>
      <c r="G33" s="2" t="n">
        <v>100</v>
      </c>
      <c r="H33" s="4" t="s">
        <v>23</v>
      </c>
    </row>
    <row r="34" customFormat="false" ht="15" hidden="false" customHeight="false" outlineLevel="0" collapsed="false">
      <c r="A34" s="2" t="s">
        <v>69</v>
      </c>
      <c r="B34" s="2" t="s">
        <v>67</v>
      </c>
      <c r="C34" s="2" t="s">
        <v>17</v>
      </c>
      <c r="D34" s="2" t="s">
        <v>11</v>
      </c>
      <c r="E34" s="2" t="s">
        <v>12</v>
      </c>
      <c r="F34" s="2" t="s">
        <v>13</v>
      </c>
      <c r="G34" s="2" t="n">
        <v>95</v>
      </c>
      <c r="H34" s="5" t="s">
        <v>30</v>
      </c>
    </row>
    <row r="35" customFormat="false" ht="15" hidden="false" customHeight="false" outlineLevel="0" collapsed="false">
      <c r="A35" s="2" t="s">
        <v>70</v>
      </c>
      <c r="B35" s="2" t="s">
        <v>25</v>
      </c>
      <c r="C35" s="2" t="s">
        <v>26</v>
      </c>
      <c r="D35" s="2" t="s">
        <v>21</v>
      </c>
      <c r="E35" s="2" t="s">
        <v>22</v>
      </c>
      <c r="F35" s="2" t="s">
        <v>18</v>
      </c>
      <c r="G35" s="2" t="n">
        <v>95</v>
      </c>
      <c r="H35" s="4" t="s">
        <v>23</v>
      </c>
    </row>
    <row r="36" customFormat="false" ht="15" hidden="false" customHeight="false" outlineLevel="0" collapsed="false">
      <c r="A36" s="2" t="s">
        <v>71</v>
      </c>
      <c r="B36" s="2" t="s">
        <v>64</v>
      </c>
      <c r="C36" s="2" t="s">
        <v>17</v>
      </c>
      <c r="D36" s="2" t="s">
        <v>21</v>
      </c>
      <c r="E36" s="2" t="s">
        <v>22</v>
      </c>
      <c r="F36" s="2" t="s">
        <v>13</v>
      </c>
      <c r="G36" s="2" t="n">
        <v>100</v>
      </c>
      <c r="H36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6" t="s">
        <v>72</v>
      </c>
      <c r="B1" s="6"/>
      <c r="C1" s="6"/>
      <c r="D1" s="6"/>
    </row>
    <row r="2" customFormat="false" ht="15" hidden="false" customHeight="false" outlineLevel="0" collapsed="false">
      <c r="A2" s="7" t="s">
        <v>73</v>
      </c>
      <c r="B2" s="7"/>
      <c r="C2" s="7"/>
      <c r="D2" s="7"/>
    </row>
    <row r="4" customFormat="false" ht="15" hidden="false" customHeight="false" outlineLevel="0" collapsed="false">
      <c r="A4" s="8" t="s">
        <v>74</v>
      </c>
    </row>
    <row r="5" customFormat="false" ht="15" hidden="false" customHeight="false" outlineLevel="0" collapsed="false">
      <c r="A5" s="1" t="s">
        <v>75</v>
      </c>
      <c r="B5" s="1" t="s">
        <v>76</v>
      </c>
      <c r="C5" s="1" t="s">
        <v>77</v>
      </c>
    </row>
    <row r="6" customFormat="false" ht="15" hidden="false" customHeight="false" outlineLevel="0" collapsed="false">
      <c r="A6" s="4" t="s">
        <v>23</v>
      </c>
      <c r="B6" s="9" t="n">
        <f aca="false">COUNTIF('Raw Data'!$H$2:$H$36,A6)</f>
        <v>24</v>
      </c>
      <c r="C6" s="10" t="n">
        <f aca="false">B6/35</f>
        <v>0.685714285714286</v>
      </c>
    </row>
    <row r="7" customFormat="false" ht="15" hidden="false" customHeight="false" outlineLevel="0" collapsed="false">
      <c r="A7" s="5" t="s">
        <v>30</v>
      </c>
      <c r="B7" s="9" t="n">
        <f aca="false">COUNTIF('Raw Data'!$H$2:$H$36,A7)</f>
        <v>7</v>
      </c>
      <c r="C7" s="10" t="n">
        <f aca="false">B7/35</f>
        <v>0.2</v>
      </c>
    </row>
    <row r="8" customFormat="false" ht="15" hidden="false" customHeight="false" outlineLevel="0" collapsed="false">
      <c r="A8" s="3" t="s">
        <v>14</v>
      </c>
      <c r="B8" s="9" t="n">
        <f aca="false">COUNTIF('Raw Data'!$H$2:$H$36,A8)</f>
        <v>4</v>
      </c>
      <c r="C8" s="10" t="n">
        <f aca="false">B8/35</f>
        <v>0.114285714285714</v>
      </c>
    </row>
    <row r="9" customFormat="false" ht="15" hidden="false" customHeight="false" outlineLevel="0" collapsed="false">
      <c r="A9" s="8" t="s">
        <v>78</v>
      </c>
      <c r="B9" s="8" t="n">
        <f aca="false">SUM(B6:B8)</f>
        <v>35</v>
      </c>
      <c r="C9" s="11" t="n">
        <f aca="false">SUM(C6:C8)</f>
        <v>1</v>
      </c>
    </row>
    <row r="12" customFormat="false" ht="15" hidden="false" customHeight="false" outlineLevel="0" collapsed="false">
      <c r="A12" s="8" t="s">
        <v>79</v>
      </c>
    </row>
    <row r="13" customFormat="false" ht="15" hidden="false" customHeight="false" outlineLevel="0" collapsed="false">
      <c r="A13" s="1" t="s">
        <v>80</v>
      </c>
      <c r="B13" s="1" t="s">
        <v>81</v>
      </c>
      <c r="C13" s="1" t="s">
        <v>23</v>
      </c>
      <c r="D13" s="1" t="s">
        <v>30</v>
      </c>
      <c r="E13" s="1" t="s">
        <v>14</v>
      </c>
      <c r="F13" s="1" t="s">
        <v>82</v>
      </c>
    </row>
    <row r="14" customFormat="false" ht="15" hidden="false" customHeight="false" outlineLevel="0" collapsed="false">
      <c r="A14" s="2" t="s">
        <v>38</v>
      </c>
      <c r="B14" s="9" t="n">
        <f aca="false">COUNTIF('Raw Data'!$B$2:$B$36,A14)</f>
        <v>2</v>
      </c>
      <c r="C14" s="9" t="n">
        <f aca="false">COUNTIFS('Raw Data'!$B$2:$B$36,A14,'Raw Data'!$H$2:$H$36,"Accepted")</f>
        <v>1</v>
      </c>
      <c r="D14" s="9" t="n">
        <f aca="false">COUNTIFS('Raw Data'!$B$2:$B$36,A14,'Raw Data'!$H$2:$H$36,"Edited")</f>
        <v>1</v>
      </c>
      <c r="E14" s="9" t="n">
        <f aca="false">COUNTIFS('Raw Data'!$B$2:$B$36,A14,'Raw Data'!$H$2:$H$36,"Rejected")</f>
        <v>0</v>
      </c>
      <c r="F14" s="10" t="n">
        <f aca="false">C14/B14</f>
        <v>0.5</v>
      </c>
    </row>
    <row r="15" customFormat="false" ht="15" hidden="false" customHeight="false" outlineLevel="0" collapsed="false">
      <c r="A15" s="2" t="s">
        <v>43</v>
      </c>
      <c r="B15" s="9" t="n">
        <f aca="false">COUNTIF('Raw Data'!$B$2:$B$36,A15)</f>
        <v>2</v>
      </c>
      <c r="C15" s="9" t="n">
        <f aca="false">COUNTIFS('Raw Data'!$B$2:$B$36,A15,'Raw Data'!$H$2:$H$36,"Accepted")</f>
        <v>2</v>
      </c>
      <c r="D15" s="9" t="n">
        <f aca="false">COUNTIFS('Raw Data'!$B$2:$B$36,A15,'Raw Data'!$H$2:$H$36,"Edited")</f>
        <v>0</v>
      </c>
      <c r="E15" s="9" t="n">
        <f aca="false">COUNTIFS('Raw Data'!$B$2:$B$36,A15,'Raw Data'!$H$2:$H$36,"Rejected")</f>
        <v>0</v>
      </c>
      <c r="F15" s="10" t="n">
        <f aca="false">C15/B15</f>
        <v>1</v>
      </c>
    </row>
    <row r="16" customFormat="false" ht="15" hidden="false" customHeight="false" outlineLevel="0" collapsed="false">
      <c r="A16" s="2" t="s">
        <v>28</v>
      </c>
      <c r="B16" s="9" t="n">
        <f aca="false">COUNTIF('Raw Data'!$B$2:$B$36,A16)</f>
        <v>3</v>
      </c>
      <c r="C16" s="9" t="n">
        <f aca="false">COUNTIFS('Raw Data'!$B$2:$B$36,A16,'Raw Data'!$H$2:$H$36,"Accepted")</f>
        <v>1</v>
      </c>
      <c r="D16" s="9" t="n">
        <f aca="false">COUNTIFS('Raw Data'!$B$2:$B$36,A16,'Raw Data'!$H$2:$H$36,"Edited")</f>
        <v>2</v>
      </c>
      <c r="E16" s="9" t="n">
        <f aca="false">COUNTIFS('Raw Data'!$B$2:$B$36,A16,'Raw Data'!$H$2:$H$36,"Rejected")</f>
        <v>0</v>
      </c>
      <c r="F16" s="10" t="n">
        <f aca="false">C16/B16</f>
        <v>0.333333333333333</v>
      </c>
    </row>
    <row r="17" customFormat="false" ht="15" hidden="false" customHeight="false" outlineLevel="0" collapsed="false">
      <c r="A17" s="2" t="s">
        <v>16</v>
      </c>
      <c r="B17" s="9" t="n">
        <f aca="false">COUNTIF('Raw Data'!$B$2:$B$36,A17)</f>
        <v>1</v>
      </c>
      <c r="C17" s="9" t="n">
        <f aca="false">COUNTIFS('Raw Data'!$B$2:$B$36,A17,'Raw Data'!$H$2:$H$36,"Accepted")</f>
        <v>0</v>
      </c>
      <c r="D17" s="9" t="n">
        <f aca="false">COUNTIFS('Raw Data'!$B$2:$B$36,A17,'Raw Data'!$H$2:$H$36,"Edited")</f>
        <v>0</v>
      </c>
      <c r="E17" s="9" t="n">
        <f aca="false">COUNTIFS('Raw Data'!$B$2:$B$36,A17,'Raw Data'!$H$2:$H$36,"Rejected")</f>
        <v>1</v>
      </c>
      <c r="F17" s="10" t="n">
        <f aca="false">C17/B17</f>
        <v>0</v>
      </c>
    </row>
    <row r="18" customFormat="false" ht="15" hidden="false" customHeight="false" outlineLevel="0" collapsed="false">
      <c r="A18" s="2" t="s">
        <v>64</v>
      </c>
      <c r="B18" s="9" t="n">
        <f aca="false">COUNTIF('Raw Data'!$B$2:$B$36,A18)</f>
        <v>3</v>
      </c>
      <c r="C18" s="9" t="n">
        <f aca="false">COUNTIFS('Raw Data'!$B$2:$B$36,A18,'Raw Data'!$H$2:$H$36,"Accepted")</f>
        <v>2</v>
      </c>
      <c r="D18" s="9" t="n">
        <f aca="false">COUNTIFS('Raw Data'!$B$2:$B$36,A18,'Raw Data'!$H$2:$H$36,"Edited")</f>
        <v>1</v>
      </c>
      <c r="E18" s="9" t="n">
        <f aca="false">COUNTIFS('Raw Data'!$B$2:$B$36,A18,'Raw Data'!$H$2:$H$36,"Rejected")</f>
        <v>0</v>
      </c>
      <c r="F18" s="10" t="n">
        <f aca="false">C18/B18</f>
        <v>0.666666666666667</v>
      </c>
    </row>
    <row r="19" customFormat="false" ht="15" hidden="false" customHeight="false" outlineLevel="0" collapsed="false">
      <c r="A19" s="2" t="s">
        <v>67</v>
      </c>
      <c r="B19" s="9" t="n">
        <f aca="false">COUNTIF('Raw Data'!$B$2:$B$36,A19)</f>
        <v>3</v>
      </c>
      <c r="C19" s="9" t="n">
        <f aca="false">COUNTIFS('Raw Data'!$B$2:$B$36,A19,'Raw Data'!$H$2:$H$36,"Accepted")</f>
        <v>2</v>
      </c>
      <c r="D19" s="9" t="n">
        <f aca="false">COUNTIFS('Raw Data'!$B$2:$B$36,A19,'Raw Data'!$H$2:$H$36,"Edited")</f>
        <v>1</v>
      </c>
      <c r="E19" s="9" t="n">
        <f aca="false">COUNTIFS('Raw Data'!$B$2:$B$36,A19,'Raw Data'!$H$2:$H$36,"Rejected")</f>
        <v>0</v>
      </c>
      <c r="F19" s="10" t="n">
        <f aca="false">C19/B19</f>
        <v>0.666666666666667</v>
      </c>
    </row>
    <row r="20" customFormat="false" ht="15" hidden="false" customHeight="false" outlineLevel="0" collapsed="false">
      <c r="A20" s="2" t="s">
        <v>34</v>
      </c>
      <c r="B20" s="9" t="n">
        <f aca="false">COUNTIF('Raw Data'!$B$2:$B$36,A20)</f>
        <v>3</v>
      </c>
      <c r="C20" s="9" t="n">
        <f aca="false">COUNTIFS('Raw Data'!$B$2:$B$36,A20,'Raw Data'!$H$2:$H$36,"Accepted")</f>
        <v>3</v>
      </c>
      <c r="D20" s="9" t="n">
        <f aca="false">COUNTIFS('Raw Data'!$B$2:$B$36,A20,'Raw Data'!$H$2:$H$36,"Edited")</f>
        <v>0</v>
      </c>
      <c r="E20" s="9" t="n">
        <f aca="false">COUNTIFS('Raw Data'!$B$2:$B$36,A20,'Raw Data'!$H$2:$H$36,"Rejected")</f>
        <v>0</v>
      </c>
      <c r="F20" s="10" t="n">
        <f aca="false">C20/B20</f>
        <v>1</v>
      </c>
    </row>
    <row r="21" customFormat="false" ht="15" hidden="false" customHeight="false" outlineLevel="0" collapsed="false">
      <c r="A21" s="2" t="s">
        <v>58</v>
      </c>
      <c r="B21" s="9" t="n">
        <f aca="false">COUNTIF('Raw Data'!$B$2:$B$36,A21)</f>
        <v>1</v>
      </c>
      <c r="C21" s="9" t="n">
        <f aca="false">COUNTIFS('Raw Data'!$B$2:$B$36,A21,'Raw Data'!$H$2:$H$36,"Accepted")</f>
        <v>1</v>
      </c>
      <c r="D21" s="9" t="n">
        <f aca="false">COUNTIFS('Raw Data'!$B$2:$B$36,A21,'Raw Data'!$H$2:$H$36,"Edited")</f>
        <v>0</v>
      </c>
      <c r="E21" s="9" t="n">
        <f aca="false">COUNTIFS('Raw Data'!$B$2:$B$36,A21,'Raw Data'!$H$2:$H$36,"Rejected")</f>
        <v>0</v>
      </c>
      <c r="F21" s="10" t="n">
        <f aca="false">C21/B21</f>
        <v>1</v>
      </c>
    </row>
    <row r="22" customFormat="false" ht="15" hidden="false" customHeight="false" outlineLevel="0" collapsed="false">
      <c r="A22" s="2" t="s">
        <v>32</v>
      </c>
      <c r="B22" s="9" t="n">
        <f aca="false">COUNTIF('Raw Data'!$B$2:$B$36,A22)</f>
        <v>4</v>
      </c>
      <c r="C22" s="9" t="n">
        <f aca="false">COUNTIFS('Raw Data'!$B$2:$B$36,A22,'Raw Data'!$H$2:$H$36,"Accepted")</f>
        <v>2</v>
      </c>
      <c r="D22" s="9" t="n">
        <f aca="false">COUNTIFS('Raw Data'!$B$2:$B$36,A22,'Raw Data'!$H$2:$H$36,"Edited")</f>
        <v>0</v>
      </c>
      <c r="E22" s="9" t="n">
        <f aca="false">COUNTIFS('Raw Data'!$B$2:$B$36,A22,'Raw Data'!$H$2:$H$36,"Rejected")</f>
        <v>2</v>
      </c>
      <c r="F22" s="10" t="n">
        <f aca="false">C22/B22</f>
        <v>0.5</v>
      </c>
    </row>
    <row r="23" customFormat="false" ht="15" hidden="false" customHeight="false" outlineLevel="0" collapsed="false">
      <c r="A23" s="2" t="s">
        <v>25</v>
      </c>
      <c r="B23" s="9" t="n">
        <f aca="false">COUNTIF('Raw Data'!$B$2:$B$36,A23)</f>
        <v>3</v>
      </c>
      <c r="C23" s="9" t="n">
        <f aca="false">COUNTIFS('Raw Data'!$B$2:$B$36,A23,'Raw Data'!$H$2:$H$36,"Accepted")</f>
        <v>3</v>
      </c>
      <c r="D23" s="9" t="n">
        <f aca="false">COUNTIFS('Raw Data'!$B$2:$B$36,A23,'Raw Data'!$H$2:$H$36,"Edited")</f>
        <v>0</v>
      </c>
      <c r="E23" s="9" t="n">
        <f aca="false">COUNTIFS('Raw Data'!$B$2:$B$36,A23,'Raw Data'!$H$2:$H$36,"Rejected")</f>
        <v>0</v>
      </c>
      <c r="F23" s="10" t="n">
        <f aca="false">C23/B23</f>
        <v>1</v>
      </c>
    </row>
    <row r="24" customFormat="false" ht="15" hidden="false" customHeight="false" outlineLevel="0" collapsed="false">
      <c r="A24" s="2" t="s">
        <v>9</v>
      </c>
      <c r="B24" s="9" t="n">
        <f aca="false">COUNTIF('Raw Data'!$B$2:$B$36,A24)</f>
        <v>1</v>
      </c>
      <c r="C24" s="9" t="n">
        <f aca="false">COUNTIFS('Raw Data'!$B$2:$B$36,A24,'Raw Data'!$H$2:$H$36,"Accepted")</f>
        <v>0</v>
      </c>
      <c r="D24" s="9" t="n">
        <f aca="false">COUNTIFS('Raw Data'!$B$2:$B$36,A24,'Raw Data'!$H$2:$H$36,"Edited")</f>
        <v>0</v>
      </c>
      <c r="E24" s="9" t="n">
        <f aca="false">COUNTIFS('Raw Data'!$B$2:$B$36,A24,'Raw Data'!$H$2:$H$36,"Rejected")</f>
        <v>1</v>
      </c>
      <c r="F24" s="10" t="n">
        <f aca="false">C24/B24</f>
        <v>0</v>
      </c>
    </row>
    <row r="25" customFormat="false" ht="15" hidden="false" customHeight="false" outlineLevel="0" collapsed="false">
      <c r="A25" s="2" t="s">
        <v>45</v>
      </c>
      <c r="B25" s="9" t="n">
        <f aca="false">COUNTIF('Raw Data'!$B$2:$B$36,A25)</f>
        <v>1</v>
      </c>
      <c r="C25" s="9" t="n">
        <f aca="false">COUNTIFS('Raw Data'!$B$2:$B$36,A25,'Raw Data'!$H$2:$H$36,"Accepted")</f>
        <v>1</v>
      </c>
      <c r="D25" s="9" t="n">
        <f aca="false">COUNTIFS('Raw Data'!$B$2:$B$36,A25,'Raw Data'!$H$2:$H$36,"Edited")</f>
        <v>0</v>
      </c>
      <c r="E25" s="9" t="n">
        <f aca="false">COUNTIFS('Raw Data'!$B$2:$B$36,A25,'Raw Data'!$H$2:$H$36,"Rejected")</f>
        <v>0</v>
      </c>
      <c r="F25" s="10" t="n">
        <f aca="false">C25/B25</f>
        <v>1</v>
      </c>
    </row>
    <row r="26" customFormat="false" ht="15" hidden="false" customHeight="false" outlineLevel="0" collapsed="false">
      <c r="A26" s="2" t="s">
        <v>20</v>
      </c>
      <c r="B26" s="9" t="n">
        <f aca="false">COUNTIF('Raw Data'!$B$2:$B$36,A26)</f>
        <v>5</v>
      </c>
      <c r="C26" s="9" t="n">
        <f aca="false">COUNTIFS('Raw Data'!$B$2:$B$36,A26,'Raw Data'!$H$2:$H$36,"Accepted")</f>
        <v>4</v>
      </c>
      <c r="D26" s="9" t="n">
        <f aca="false">COUNTIFS('Raw Data'!$B$2:$B$36,A26,'Raw Data'!$H$2:$H$36,"Edited")</f>
        <v>1</v>
      </c>
      <c r="E26" s="9" t="n">
        <f aca="false">COUNTIFS('Raw Data'!$B$2:$B$36,A26,'Raw Data'!$H$2:$H$36,"Rejected")</f>
        <v>0</v>
      </c>
      <c r="F26" s="10" t="n">
        <f aca="false">C26/B26</f>
        <v>0.8</v>
      </c>
    </row>
    <row r="27" customFormat="false" ht="15" hidden="false" customHeight="false" outlineLevel="0" collapsed="false">
      <c r="A27" s="2" t="s">
        <v>36</v>
      </c>
      <c r="B27" s="9" t="n">
        <f aca="false">COUNTIF('Raw Data'!$B$2:$B$36,A27)</f>
        <v>3</v>
      </c>
      <c r="C27" s="9" t="n">
        <f aca="false">COUNTIFS('Raw Data'!$B$2:$B$36,A27,'Raw Data'!$H$2:$H$36,"Accepted")</f>
        <v>2</v>
      </c>
      <c r="D27" s="9" t="n">
        <f aca="false">COUNTIFS('Raw Data'!$B$2:$B$36,A27,'Raw Data'!$H$2:$H$36,"Edited")</f>
        <v>1</v>
      </c>
      <c r="E27" s="9" t="n">
        <f aca="false">COUNTIFS('Raw Data'!$B$2:$B$36,A27,'Raw Data'!$H$2:$H$36,"Rejected")</f>
        <v>0</v>
      </c>
      <c r="F27" s="10" t="n">
        <f aca="false">C27/B27</f>
        <v>0.666666666666667</v>
      </c>
    </row>
    <row r="30" customFormat="false" ht="15" hidden="false" customHeight="false" outlineLevel="0" collapsed="false">
      <c r="A30" s="8" t="s">
        <v>83</v>
      </c>
    </row>
    <row r="31" customFormat="false" ht="15" hidden="false" customHeight="false" outlineLevel="0" collapsed="false">
      <c r="A31" s="1" t="s">
        <v>84</v>
      </c>
      <c r="B31" s="1" t="s">
        <v>81</v>
      </c>
      <c r="C31" s="1" t="s">
        <v>23</v>
      </c>
      <c r="D31" s="1" t="s">
        <v>30</v>
      </c>
      <c r="E31" s="1" t="s">
        <v>14</v>
      </c>
      <c r="F31" s="1" t="s">
        <v>82</v>
      </c>
    </row>
    <row r="32" customFormat="false" ht="15" hidden="false" customHeight="false" outlineLevel="0" collapsed="false">
      <c r="A32" s="2" t="s">
        <v>11</v>
      </c>
      <c r="B32" s="9" t="n">
        <f aca="false">COUNTIF('Raw Data'!$D$2:$D$36,A32)</f>
        <v>12</v>
      </c>
      <c r="C32" s="9" t="n">
        <f aca="false">COUNTIFS('Raw Data'!$D$2:$D$36,A32,'Raw Data'!$H$2:$H$36,"Accepted")</f>
        <v>8</v>
      </c>
      <c r="D32" s="9" t="n">
        <f aca="false">COUNTIFS('Raw Data'!$D$2:$D$36,A32,'Raw Data'!$H$2:$H$36,"Edited")</f>
        <v>2</v>
      </c>
      <c r="E32" s="9" t="n">
        <f aca="false">COUNTIFS('Raw Data'!$D$2:$D$36,A32,'Raw Data'!$H$2:$H$36,"Rejected")</f>
        <v>2</v>
      </c>
      <c r="F32" s="10" t="n">
        <f aca="false">C32/B32</f>
        <v>0.666666666666667</v>
      </c>
    </row>
    <row r="33" customFormat="false" ht="15" hidden="false" customHeight="false" outlineLevel="0" collapsed="false">
      <c r="A33" s="2" t="s">
        <v>21</v>
      </c>
      <c r="B33" s="9" t="n">
        <f aca="false">COUNTIF('Raw Data'!$D$2:$D$36,A33)</f>
        <v>20</v>
      </c>
      <c r="C33" s="9" t="n">
        <f aca="false">COUNTIFS('Raw Data'!$D$2:$D$36,A33,'Raw Data'!$H$2:$H$36,"Accepted")</f>
        <v>15</v>
      </c>
      <c r="D33" s="9" t="n">
        <f aca="false">COUNTIFS('Raw Data'!$D$2:$D$36,A33,'Raw Data'!$H$2:$H$36,"Edited")</f>
        <v>3</v>
      </c>
      <c r="E33" s="9" t="n">
        <f aca="false">COUNTIFS('Raw Data'!$D$2:$D$36,A33,'Raw Data'!$H$2:$H$36,"Rejected")</f>
        <v>2</v>
      </c>
      <c r="F33" s="10" t="n">
        <f aca="false">C33/B33</f>
        <v>0.75</v>
      </c>
    </row>
    <row r="34" customFormat="false" ht="15" hidden="false" customHeight="false" outlineLevel="0" collapsed="false">
      <c r="A34" s="2" t="s">
        <v>48</v>
      </c>
      <c r="B34" s="9" t="n">
        <f aca="false">COUNTIF('Raw Data'!$D$2:$D$36,A34)</f>
        <v>3</v>
      </c>
      <c r="C34" s="9" t="n">
        <f aca="false">COUNTIFS('Raw Data'!$D$2:$D$36,A34,'Raw Data'!$H$2:$H$36,"Accepted")</f>
        <v>1</v>
      </c>
      <c r="D34" s="9" t="n">
        <f aca="false">COUNTIFS('Raw Data'!$D$2:$D$36,A34,'Raw Data'!$H$2:$H$36,"Edited")</f>
        <v>2</v>
      </c>
      <c r="E34" s="9" t="n">
        <f aca="false">COUNTIFS('Raw Data'!$D$2:$D$36,A34,'Raw Data'!$H$2:$H$36,"Rejected")</f>
        <v>0</v>
      </c>
      <c r="F34" s="10" t="n">
        <f aca="false">C34/B34</f>
        <v>0.333333333333333</v>
      </c>
    </row>
    <row r="37" customFormat="false" ht="15" hidden="false" customHeight="false" outlineLevel="0" collapsed="false">
      <c r="A37" s="8" t="s">
        <v>85</v>
      </c>
    </row>
    <row r="38" customFormat="false" ht="15" hidden="false" customHeight="false" outlineLevel="0" collapsed="false">
      <c r="A38" s="1" t="s">
        <v>86</v>
      </c>
      <c r="B38" s="1" t="s">
        <v>81</v>
      </c>
      <c r="C38" s="1" t="s">
        <v>23</v>
      </c>
      <c r="D38" s="1" t="s">
        <v>30</v>
      </c>
      <c r="E38" s="1" t="s">
        <v>14</v>
      </c>
      <c r="F38" s="1" t="s">
        <v>82</v>
      </c>
    </row>
    <row r="39" customFormat="false" ht="15" hidden="false" customHeight="false" outlineLevel="0" collapsed="false">
      <c r="A39" s="2" t="s">
        <v>26</v>
      </c>
      <c r="B39" s="9" t="n">
        <f aca="false">COUNTIF('Raw Data'!$C$2:$C$36,A39)</f>
        <v>4</v>
      </c>
      <c r="C39" s="9" t="n">
        <f aca="false">COUNTIFS('Raw Data'!$C$2:$C$36,A39,'Raw Data'!$H$2:$H$36,"Accepted")</f>
        <v>3</v>
      </c>
      <c r="D39" s="9" t="n">
        <f aca="false">COUNTIFS('Raw Data'!$C$2:$C$36,A39,'Raw Data'!$H$2:$H$36,"Edited")</f>
        <v>1</v>
      </c>
      <c r="E39" s="9" t="n">
        <f aca="false">COUNTIFS('Raw Data'!$C$2:$C$36,A39,'Raw Data'!$H$2:$H$36,"Rejected")</f>
        <v>0</v>
      </c>
      <c r="F39" s="10" t="n">
        <f aca="false">C39/B39</f>
        <v>0.75</v>
      </c>
    </row>
    <row r="40" customFormat="false" ht="15" hidden="false" customHeight="false" outlineLevel="0" collapsed="false">
      <c r="A40" s="2" t="s">
        <v>10</v>
      </c>
      <c r="B40" s="9" t="n">
        <f aca="false">COUNTIF('Raw Data'!$C$2:$C$36,A40)</f>
        <v>9</v>
      </c>
      <c r="C40" s="9" t="n">
        <f aca="false">COUNTIFS('Raw Data'!$C$2:$C$36,A40,'Raw Data'!$H$2:$H$36,"Accepted")</f>
        <v>7</v>
      </c>
      <c r="D40" s="9" t="n">
        <f aca="false">COUNTIFS('Raw Data'!$C$2:$C$36,A40,'Raw Data'!$H$2:$H$36,"Edited")</f>
        <v>1</v>
      </c>
      <c r="E40" s="9" t="n">
        <f aca="false">COUNTIFS('Raw Data'!$C$2:$C$36,A40,'Raw Data'!$H$2:$H$36,"Rejected")</f>
        <v>1</v>
      </c>
      <c r="F40" s="10" t="n">
        <f aca="false">C40/B40</f>
        <v>0.777777777777778</v>
      </c>
    </row>
    <row r="41" customFormat="false" ht="15" hidden="false" customHeight="false" outlineLevel="0" collapsed="false">
      <c r="A41" s="2" t="s">
        <v>17</v>
      </c>
      <c r="B41" s="9" t="n">
        <f aca="false">COUNTIF('Raw Data'!$C$2:$C$36,A41)</f>
        <v>16</v>
      </c>
      <c r="C41" s="9" t="n">
        <f aca="false">COUNTIFS('Raw Data'!$C$2:$C$36,A41,'Raw Data'!$H$2:$H$36,"Accepted")</f>
        <v>11</v>
      </c>
      <c r="D41" s="9" t="n">
        <f aca="false">COUNTIFS('Raw Data'!$C$2:$C$36,A41,'Raw Data'!$H$2:$H$36,"Edited")</f>
        <v>2</v>
      </c>
      <c r="E41" s="9" t="n">
        <f aca="false">COUNTIFS('Raw Data'!$C$2:$C$36,A41,'Raw Data'!$H$2:$H$36,"Rejected")</f>
        <v>3</v>
      </c>
      <c r="F41" s="10" t="n">
        <f aca="false">C41/B41</f>
        <v>0.6875</v>
      </c>
    </row>
    <row r="42" customFormat="false" ht="15" hidden="false" customHeight="false" outlineLevel="0" collapsed="false">
      <c r="A42" s="2" t="s">
        <v>39</v>
      </c>
      <c r="B42" s="9" t="n">
        <f aca="false">COUNTIF('Raw Data'!$C$2:$C$36,A42)</f>
        <v>3</v>
      </c>
      <c r="C42" s="9" t="n">
        <f aca="false">COUNTIFS('Raw Data'!$C$2:$C$36,A42,'Raw Data'!$H$2:$H$36,"Accepted")</f>
        <v>2</v>
      </c>
      <c r="D42" s="9" t="n">
        <f aca="false">COUNTIFS('Raw Data'!$C$2:$C$36,A42,'Raw Data'!$H$2:$H$36,"Edited")</f>
        <v>1</v>
      </c>
      <c r="E42" s="9" t="n">
        <f aca="false">COUNTIFS('Raw Data'!$C$2:$C$36,A42,'Raw Data'!$H$2:$H$36,"Rejected")</f>
        <v>0</v>
      </c>
      <c r="F42" s="10" t="n">
        <f aca="false">C42/B42</f>
        <v>0.666666666666667</v>
      </c>
    </row>
    <row r="43" customFormat="false" ht="15" hidden="false" customHeight="false" outlineLevel="0" collapsed="false">
      <c r="A43" s="2" t="s">
        <v>29</v>
      </c>
      <c r="B43" s="9" t="n">
        <f aca="false">COUNTIF('Raw Data'!$C$2:$C$36,A43)</f>
        <v>3</v>
      </c>
      <c r="C43" s="9" t="n">
        <f aca="false">COUNTIFS('Raw Data'!$C$2:$C$36,A43,'Raw Data'!$H$2:$H$36,"Accepted")</f>
        <v>1</v>
      </c>
      <c r="D43" s="9" t="n">
        <f aca="false">COUNTIFS('Raw Data'!$C$2:$C$36,A43,'Raw Data'!$H$2:$H$36,"Edited")</f>
        <v>2</v>
      </c>
      <c r="E43" s="9" t="n">
        <f aca="false">COUNTIFS('Raw Data'!$C$2:$C$36,A43,'Raw Data'!$H$2:$H$36,"Rejected")</f>
        <v>0</v>
      </c>
      <c r="F43" s="10" t="n">
        <f aca="false">C43/B43</f>
        <v>0.333333333333333</v>
      </c>
    </row>
    <row r="46" customFormat="false" ht="15" hidden="false" customHeight="false" outlineLevel="0" collapsed="false">
      <c r="A46" s="8" t="s">
        <v>87</v>
      </c>
    </row>
    <row r="47" customFormat="false" ht="15" hidden="false" customHeight="false" outlineLevel="0" collapsed="false">
      <c r="A47" s="1" t="s">
        <v>88</v>
      </c>
      <c r="B47" s="1" t="s">
        <v>81</v>
      </c>
      <c r="C47" s="1" t="s">
        <v>23</v>
      </c>
      <c r="D47" s="1" t="s">
        <v>30</v>
      </c>
      <c r="E47" s="1" t="s">
        <v>14</v>
      </c>
      <c r="F47" s="1" t="s">
        <v>82</v>
      </c>
    </row>
    <row r="48" customFormat="false" ht="15" hidden="false" customHeight="false" outlineLevel="0" collapsed="false">
      <c r="A48" s="2" t="s">
        <v>18</v>
      </c>
      <c r="B48" s="9" t="n">
        <f aca="false">COUNTIF('Raw Data'!$F$2:$F$36,A48)</f>
        <v>9</v>
      </c>
      <c r="C48" s="9" t="n">
        <f aca="false">COUNTIFS('Raw Data'!$F$2:$F$36,A48,'Raw Data'!$H$2:$H$36,"Accepted")</f>
        <v>4</v>
      </c>
      <c r="D48" s="9" t="n">
        <f aca="false">COUNTIFS('Raw Data'!$F$2:$F$36,A48,'Raw Data'!$H$2:$H$36,"Edited")</f>
        <v>3</v>
      </c>
      <c r="E48" s="9" t="n">
        <f aca="false">COUNTIFS('Raw Data'!$F$2:$F$36,A48,'Raw Data'!$H$2:$H$36,"Rejected")</f>
        <v>2</v>
      </c>
      <c r="F48" s="10" t="n">
        <f aca="false">C48/B48</f>
        <v>0.444444444444444</v>
      </c>
    </row>
    <row r="49" customFormat="false" ht="15" hidden="false" customHeight="false" outlineLevel="0" collapsed="false">
      <c r="A49" s="2" t="s">
        <v>13</v>
      </c>
      <c r="B49" s="9" t="n">
        <f aca="false">COUNTIF('Raw Data'!$F$2:$F$36,A49)</f>
        <v>26</v>
      </c>
      <c r="C49" s="9" t="n">
        <f aca="false">COUNTIFS('Raw Data'!$F$2:$F$36,A49,'Raw Data'!$H$2:$H$36,"Accepted")</f>
        <v>20</v>
      </c>
      <c r="D49" s="9" t="n">
        <f aca="false">COUNTIFS('Raw Data'!$F$2:$F$36,A49,'Raw Data'!$H$2:$H$36,"Edited")</f>
        <v>4</v>
      </c>
      <c r="E49" s="9" t="n">
        <f aca="false">COUNTIFS('Raw Data'!$F$2:$F$36,A49,'Raw Data'!$H$2:$H$36,"Rejected")</f>
        <v>2</v>
      </c>
      <c r="F49" s="10" t="n">
        <f aca="false">C49/B49</f>
        <v>0.769230769230769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2026-08-27T19:03:13Z</dcterms:created>
  <dc:creator>openpyxl</dc:creator>
  <dc:description/>
  <dc:language>en-US</dc:language>
  <cp:lastModifiedBy/>
  <dcterms:modified xsi:type="dcterms:W3CDTF">2026-08-27T19:03:21Z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